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camento Departamental" sheetId="1" state="visible" r:id="rId3"/>
    <sheet name="Politica de Reembols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<sst xmlns="http://schemas.openxmlformats.org/spreadsheetml/2006/main" count="67" uniqueCount="58">
  <si>
    <t xml:space="preserve">Orçamento Departamental 2026 — ÓrbitaTech (Financeiro)</t>
  </si>
  <si>
    <t xml:space="preserve">Documento interno de apoio ao agente financeiro (RAG). Valores em R$.</t>
  </si>
  <si>
    <t xml:space="preserve">Departamento</t>
  </si>
  <si>
    <t xml:space="preserve">Orçamento Anual</t>
  </si>
  <si>
    <t xml:space="preserve">Realizado até Jul/26</t>
  </si>
  <si>
    <t xml:space="preserve">Saldo Disponível</t>
  </si>
  <si>
    <t xml:space="preserve">% Utilizado</t>
  </si>
  <si>
    <t xml:space="preserve">Responsável</t>
  </si>
  <si>
    <t xml:space="preserve">Produto &amp; Tecnologia</t>
  </si>
  <si>
    <t xml:space="preserve">Camila Ortiz</t>
  </si>
  <si>
    <t xml:space="preserve">Operações &amp; Logística</t>
  </si>
  <si>
    <t xml:space="preserve">Rafael Mendes</t>
  </si>
  <si>
    <t xml:space="preserve">Comercial &amp; Marketing</t>
  </si>
  <si>
    <t xml:space="preserve">Beatriz Souza</t>
  </si>
  <si>
    <t xml:space="preserve">Financeiro</t>
  </si>
  <si>
    <t xml:space="preserve">Diego Fontana</t>
  </si>
  <si>
    <t xml:space="preserve">Atendimento ao Cliente</t>
  </si>
  <si>
    <t xml:space="preserve">Larissa Nunes</t>
  </si>
  <si>
    <t xml:space="preserve">Pessoas &amp; Cultura (RH)</t>
  </si>
  <si>
    <t xml:space="preserve">Paulo Vieira</t>
  </si>
  <si>
    <t xml:space="preserve">TOTAL</t>
  </si>
  <si>
    <t xml:space="preserve">Nota: valores 'Realizado' consolidados mensalmente pelo time Financeiro; revisão orçamentária ocorre em ciclos trimestrais.</t>
  </si>
  <si>
    <t xml:space="preserve">Política de Reembolso de Despesas Corporativas — ÓrbitaTech</t>
  </si>
  <si>
    <t xml:space="preserve">Aplicável a viagens a trabalho, representação comercial e despesas operacionais.</t>
  </si>
  <si>
    <t xml:space="preserve">Categoria</t>
  </si>
  <si>
    <t xml:space="preserve">Limite Diário / por Item</t>
  </si>
  <si>
    <t xml:space="preserve">Comprovante Obrigatório</t>
  </si>
  <si>
    <t xml:space="preserve">Prazo p/ Solicitação</t>
  </si>
  <si>
    <t xml:space="preserve">Aprovação</t>
  </si>
  <si>
    <t xml:space="preserve">Alimentação (viagem)</t>
  </si>
  <si>
    <t xml:space="preserve">R$ 90/dia</t>
  </si>
  <si>
    <t xml:space="preserve">Sim (nota fiscal)</t>
  </si>
  <si>
    <t xml:space="preserve">Até 15 dias após a despesa</t>
  </si>
  <si>
    <t xml:space="preserve">Gestor(a) direto(a)</t>
  </si>
  <si>
    <t xml:space="preserve">Hospedagem</t>
  </si>
  <si>
    <t xml:space="preserve">R$ 350/diária (até categoria 4 estrelas)</t>
  </si>
  <si>
    <t xml:space="preserve">Transporte urbano (táxi/app)</t>
  </si>
  <si>
    <t xml:space="preserve">R$ 60/dia</t>
  </si>
  <si>
    <t xml:space="preserve">Sim (recibo do app)</t>
  </si>
  <si>
    <t xml:space="preserve">Passagens aéreas</t>
  </si>
  <si>
    <t xml:space="preserve">Classe econômica; compra com 14+ dias de antecedência</t>
  </si>
  <si>
    <t xml:space="preserve">Sim (bilhete + nota fiscal)</t>
  </si>
  <si>
    <t xml:space="preserve">Solicitação prévia obrigatória</t>
  </si>
  <si>
    <t xml:space="preserve">Head da área + Financeiro</t>
  </si>
  <si>
    <t xml:space="preserve">Material de escritório</t>
  </si>
  <si>
    <t xml:space="preserve">Até R$ 300/mês por squad</t>
  </si>
  <si>
    <t xml:space="preserve">Até 30 dias após a despesa</t>
  </si>
  <si>
    <t xml:space="preserve">Cursos e certificações</t>
  </si>
  <si>
    <t xml:space="preserve">Até R$ 2.500/ano por colaborador(a)</t>
  </si>
  <si>
    <t xml:space="preserve">Sim (nota fiscal + certificado)</t>
  </si>
  <si>
    <t xml:space="preserve">Head da área + RH</t>
  </si>
  <si>
    <t xml:space="preserve">Representação comercial (clientes/parceiros)</t>
  </si>
  <si>
    <t xml:space="preserve">R$ 200/evento</t>
  </si>
  <si>
    <t xml:space="preserve">Sim (nota fiscal detalhada)</t>
  </si>
  <si>
    <t xml:space="preserve">Head da área</t>
  </si>
  <si>
    <t xml:space="preserve">• Reembolsos são processados via sistema interno 'Reembolsa Já' e pagos na folha do mês subsequente à aprovação.</t>
  </si>
  <si>
    <t xml:space="preserve">• Despesas acima dos limites exigem justificativa e aprovação adicional do Financeiro.</t>
  </si>
  <si>
    <t xml:space="preserve">• Despesas sem comprovante fiscal válido não são reembolsáveis, salvo exceções previstas em política de viagens internacionais.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</si>
</sst>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1200000</v>
      </c>
      <c r="C5" s="5" t="n">
        <v>640000</v>
      </c>
      <c r="D5" s="5" t="n">
        <f aca="false">B5-C5</f>
        <v>560000</v>
      </c>
      <c r="E5" s="6" t="n">
        <f aca="false">C5/B5</f>
        <v>0.533333333333333</v>
      </c>
      <c r="F5" s="4" t="s">
        <v>9</v>
      </c>
    </row>
    <row r="6" customFormat="false" ht="15" hidden="false" customHeight="false" outlineLevel="0" collapsed="false">
      <c r="A6" s="4" t="s">
        <v>10</v>
      </c>
      <c r="B6" s="5" t="n">
        <v>2500000</v>
      </c>
      <c r="C6" s="5" t="n">
        <v>1580000</v>
      </c>
      <c r="D6" s="5" t="n">
        <f aca="false">B6-C6</f>
        <v>920000</v>
      </c>
      <c r="E6" s="6" t="n">
        <f aca="false">C6/B6</f>
        <v>0.632</v>
      </c>
      <c r="F6" s="4" t="s">
        <v>11</v>
      </c>
    </row>
    <row r="7" customFormat="false" ht="15" hidden="false" customHeight="false" outlineLevel="0" collapsed="false">
      <c r="A7" s="4" t="s">
        <v>12</v>
      </c>
      <c r="B7" s="5" t="n">
        <v>1800000</v>
      </c>
      <c r="C7" s="5" t="n">
        <v>1120000</v>
      </c>
      <c r="D7" s="5" t="n">
        <f aca="false">B7-C7</f>
        <v>680000</v>
      </c>
      <c r="E7" s="6" t="n">
        <f aca="false">C7/B7</f>
        <v>0.622222222222222</v>
      </c>
      <c r="F7" s="4" t="s">
        <v>13</v>
      </c>
    </row>
    <row r="8" customFormat="false" ht="15" hidden="false" customHeight="false" outlineLevel="0" collapsed="false">
      <c r="A8" s="4" t="s">
        <v>14</v>
      </c>
      <c r="B8" s="5" t="n">
        <v>450000</v>
      </c>
      <c r="C8" s="5" t="n">
        <v>210000</v>
      </c>
      <c r="D8" s="5" t="n">
        <f aca="false">B8-C8</f>
        <v>240000</v>
      </c>
      <c r="E8" s="6" t="n">
        <f aca="false">C8/B8</f>
        <v>0.466666666666667</v>
      </c>
      <c r="F8" s="4" t="s">
        <v>15</v>
      </c>
    </row>
    <row r="9" customFormat="false" ht="15" hidden="false" customHeight="false" outlineLevel="0" collapsed="false">
      <c r="A9" s="4" t="s">
        <v>16</v>
      </c>
      <c r="B9" s="5" t="n">
        <v>700000</v>
      </c>
      <c r="C9" s="5" t="n">
        <v>460000</v>
      </c>
      <c r="D9" s="5" t="n">
        <f aca="false">B9-C9</f>
        <v>240000</v>
      </c>
      <c r="E9" s="6" t="n">
        <f aca="false">C9/B9</f>
        <v>0.657142857142857</v>
      </c>
      <c r="F9" s="4" t="s">
        <v>17</v>
      </c>
    </row>
    <row r="10" customFormat="false" ht="15" hidden="false" customHeight="false" outlineLevel="0" collapsed="false">
      <c r="A10" s="4" t="s">
        <v>18</v>
      </c>
      <c r="B10" s="5" t="n">
        <v>380000</v>
      </c>
      <c r="C10" s="5" t="n">
        <v>195000</v>
      </c>
      <c r="D10" s="5" t="n">
        <f aca="false">B10-C10</f>
        <v>185000</v>
      </c>
      <c r="E10" s="6" t="n">
        <f aca="false">C10/B10</f>
        <v>0.513157894736842</v>
      </c>
      <c r="F10" s="4" t="s">
        <v>19</v>
      </c>
    </row>
    <row r="11" customFormat="false" ht="15" hidden="false" customHeight="false" outlineLevel="0" collapsed="false">
      <c r="A11" s="7" t="s">
        <v>20</v>
      </c>
      <c r="B11" s="8" t="n">
        <f aca="false">SUM(B5:B10)</f>
        <v>7030000</v>
      </c>
      <c r="C11" s="8" t="n">
        <f aca="false">SUM(C5:C10)</f>
        <v>4205000</v>
      </c>
      <c r="D11" s="8" t="n">
        <f aca="false">B11-C11</f>
        <v>2825000</v>
      </c>
      <c r="E11" s="7" t="n">
        <f aca="false">C11/B11</f>
        <v>0.598150782361309</v>
      </c>
      <c r="F11" s="7"/>
    </row>
    <row r="13" customFormat="false" ht="15" hidden="false" customHeight="false" outlineLevel="0" collapsed="false">
      <c r="A13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</row>
    <row r="6" customFormat="false" ht="15" hidden="false" customHeight="false" outlineLevel="0" collapsed="false">
      <c r="A6" s="4" t="s">
        <v>34</v>
      </c>
      <c r="B6" s="4" t="s">
        <v>35</v>
      </c>
      <c r="C6" s="4" t="s">
        <v>31</v>
      </c>
      <c r="D6" s="4" t="s">
        <v>32</v>
      </c>
      <c r="E6" s="4" t="s">
        <v>33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s">
        <v>38</v>
      </c>
      <c r="D7" s="4" t="s">
        <v>32</v>
      </c>
      <c r="E7" s="4" t="s">
        <v>33</v>
      </c>
    </row>
    <row r="8" customFormat="false" ht="15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</row>
    <row r="9" customFormat="false" ht="15" hidden="false" customHeight="false" outlineLevel="0" collapsed="false">
      <c r="A9" s="4" t="s">
        <v>44</v>
      </c>
      <c r="B9" s="4" t="s">
        <v>45</v>
      </c>
      <c r="C9" s="4" t="s">
        <v>31</v>
      </c>
      <c r="D9" s="4" t="s">
        <v>46</v>
      </c>
      <c r="E9" s="4" t="s">
        <v>33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42</v>
      </c>
      <c r="E10" s="4" t="s">
        <v>50</v>
      </c>
    </row>
    <row r="11" customFormat="false" ht="15" hidden="false" customHeight="false" outlineLevel="0" collapsed="false">
      <c r="A11" s="4" t="s">
        <v>51</v>
      </c>
      <c r="B11" s="4" t="s">
        <v>52</v>
      </c>
      <c r="C11" s="4" t="s">
        <v>53</v>
      </c>
      <c r="D11" s="4" t="s">
        <v>32</v>
      </c>
      <c r="E11" s="4" t="s">
        <v>54</v>
      </c>
    </row>
    <row r="14" customFormat="false" ht="15" hidden="false" customHeight="false" outlineLevel="0" collapsed="false">
      <c r="A14" s="2" t="s">
        <v>55</v>
      </c>
    </row>
    <row r="15" customFormat="false" ht="15" hidden="false" customHeight="false" outlineLevel="0" collapsed="false">
      <c r="A15" s="2" t="s">
        <v>56</v>
      </c>
    </row>
    <row r="16" customFormat="false" ht="15" hidden="false" customHeight="false" outlineLevel="0" collapsed="false">
      <c r="A16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2026-07-27T18:56:23Z</dcterms:created>
  <dc:creator>openpyxl</dc:creator>
  <dc:description/>
  <dc:language>en-US</dc:language>
  <cp:lastModifiedBy/>
  <dcterms:modified xsi:type="dcterms:W3CDTF">2026-07-27T18:56:23Z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